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86a2184c5d5a17/Dokumente/Studium/7. Semester/Entrepreneuship/"/>
    </mc:Choice>
  </mc:AlternateContent>
  <xr:revisionPtr revIDLastSave="417" documentId="8_{6499E7A7-DFD7-4A14-A099-3B33A0B15397}" xr6:coauthVersionLast="47" xr6:coauthVersionMax="47" xr10:uidLastSave="{5228A0B3-583F-4DE1-A2DC-FE0411467638}"/>
  <bookViews>
    <workbookView xWindow="-110" yWindow="-110" windowWidth="19420" windowHeight="10420" xr2:uid="{AA6B1A9D-F54F-4F3B-BF5E-0F404FB69F98}"/>
  </bookViews>
  <sheets>
    <sheet name="Input" sheetId="2" r:id="rId1"/>
    <sheet name="Cashflow" sheetId="1" r:id="rId2"/>
    <sheet name="Total Investme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3" l="1"/>
  <c r="D8" i="3"/>
  <c r="D9" i="3"/>
  <c r="F9" i="3"/>
  <c r="E9" i="3"/>
  <c r="D6" i="3"/>
  <c r="H14" i="3"/>
  <c r="E7" i="3"/>
  <c r="F7" i="3"/>
  <c r="G7" i="3"/>
  <c r="H7" i="3"/>
  <c r="D7" i="3"/>
  <c r="F6" i="3"/>
  <c r="F12" i="3"/>
  <c r="C14" i="3"/>
  <c r="I10" i="2"/>
  <c r="I8" i="2"/>
  <c r="H6" i="3"/>
  <c r="G6" i="3"/>
  <c r="E6" i="3"/>
  <c r="C13" i="3"/>
  <c r="F10" i="3"/>
  <c r="G10" i="3" s="1"/>
  <c r="E10" i="3"/>
  <c r="G10" i="1"/>
  <c r="H10" i="1"/>
  <c r="F9" i="1"/>
  <c r="F8" i="3"/>
  <c r="G8" i="3" s="1"/>
  <c r="H8" i="3" s="1"/>
  <c r="H8" i="2"/>
  <c r="C12" i="3"/>
  <c r="H22" i="2"/>
  <c r="G25" i="2"/>
  <c r="G24" i="2"/>
  <c r="G23" i="2"/>
  <c r="J5" i="1"/>
  <c r="K5" i="1" s="1"/>
  <c r="L5" i="1" s="1"/>
  <c r="M5" i="1" s="1"/>
  <c r="N5" i="1" s="1"/>
  <c r="O5" i="1" s="1"/>
  <c r="I5" i="1"/>
  <c r="H5" i="1"/>
  <c r="F5" i="1"/>
  <c r="G5" i="1"/>
  <c r="B26" i="1"/>
  <c r="C23" i="1"/>
  <c r="C22" i="1"/>
  <c r="C21" i="1"/>
  <c r="F6" i="1"/>
  <c r="I10" i="1"/>
  <c r="J10" i="1"/>
  <c r="K10" i="1"/>
  <c r="L10" i="1" s="1"/>
  <c r="M10" i="1" s="1"/>
  <c r="N10" i="1" s="1"/>
  <c r="O10" i="1" s="1"/>
  <c r="F10" i="1"/>
  <c r="F11" i="1"/>
  <c r="D11" i="3" l="1"/>
  <c r="F11" i="3"/>
  <c r="E11" i="3"/>
  <c r="G9" i="3"/>
  <c r="G11" i="3" s="1"/>
  <c r="G12" i="3" s="1"/>
  <c r="G13" i="3" s="1"/>
  <c r="H10" i="3"/>
  <c r="F12" i="1"/>
  <c r="F13" i="1" s="1"/>
  <c r="H8" i="1"/>
  <c r="I8" i="1" s="1"/>
  <c r="J8" i="1" s="1"/>
  <c r="K8" i="1" s="1"/>
  <c r="L8" i="1" s="1"/>
  <c r="M8" i="1" s="1"/>
  <c r="N8" i="1" s="1"/>
  <c r="O8" i="1" s="1"/>
  <c r="G8" i="1"/>
  <c r="F8" i="1"/>
  <c r="G10" i="2"/>
  <c r="D10" i="2"/>
  <c r="D24" i="2"/>
  <c r="D23" i="2"/>
  <c r="F13" i="3" l="1"/>
  <c r="E12" i="3"/>
  <c r="E13" i="3" s="1"/>
  <c r="H9" i="3"/>
  <c r="H11" i="3" s="1"/>
  <c r="H12" i="3" s="1"/>
  <c r="H13" i="3" s="1"/>
  <c r="H9" i="1"/>
  <c r="H6" i="1"/>
  <c r="G9" i="1"/>
  <c r="G6" i="1"/>
  <c r="G11" i="1" l="1"/>
  <c r="G12" i="1" s="1"/>
  <c r="G13" i="1" s="1"/>
  <c r="I9" i="1"/>
  <c r="I6" i="1"/>
  <c r="H11" i="1"/>
  <c r="H12" i="1" l="1"/>
  <c r="H13" i="1" s="1"/>
  <c r="I11" i="1"/>
  <c r="J6" i="1"/>
  <c r="J9" i="1"/>
  <c r="I12" i="1" l="1"/>
  <c r="I13" i="1" s="1"/>
  <c r="J11" i="1"/>
  <c r="K9" i="1"/>
  <c r="K6" i="1"/>
  <c r="J12" i="1" l="1"/>
  <c r="J13" i="1" s="1"/>
  <c r="K11" i="1"/>
  <c r="K12" i="1" s="1"/>
  <c r="K13" i="1" s="1"/>
  <c r="L6" i="1"/>
  <c r="L9" i="1"/>
  <c r="M9" i="1" l="1"/>
  <c r="M6" i="1"/>
  <c r="L11" i="1"/>
  <c r="L12" i="1" s="1"/>
  <c r="L13" i="1" s="1"/>
  <c r="N6" i="1" l="1"/>
  <c r="N9" i="1"/>
  <c r="M11" i="1"/>
  <c r="M12" i="1" s="1"/>
  <c r="M13" i="1" s="1"/>
  <c r="O9" i="1" l="1"/>
  <c r="O6" i="1"/>
  <c r="N11" i="1"/>
  <c r="N12" i="1" s="1"/>
  <c r="N13" i="1" s="1"/>
  <c r="O11" i="1" l="1"/>
  <c r="O12" i="1" s="1"/>
  <c r="O13" i="1" s="1"/>
  <c r="D12" i="3"/>
  <c r="D13" i="3" s="1"/>
  <c r="D14" i="3" s="1"/>
  <c r="E14" i="3" s="1"/>
  <c r="F14" i="3" s="1"/>
  <c r="G14" i="3" s="1"/>
</calcChain>
</file>

<file path=xl/sharedStrings.xml><?xml version="1.0" encoding="utf-8"?>
<sst xmlns="http://schemas.openxmlformats.org/spreadsheetml/2006/main" count="69" uniqueCount="54">
  <si>
    <t>Cashflow-Prognose Cyber 24</t>
  </si>
  <si>
    <t>Grunddaten</t>
  </si>
  <si>
    <t>Personalkosten</t>
  </si>
  <si>
    <t>Produktkosten</t>
  </si>
  <si>
    <t>Techie</t>
  </si>
  <si>
    <t>Speaker</t>
  </si>
  <si>
    <t>Finance</t>
  </si>
  <si>
    <t>Investitions Betrag</t>
  </si>
  <si>
    <t>Preis</t>
  </si>
  <si>
    <t>Geburtenrate Deutschland</t>
  </si>
  <si>
    <t>Mittelwert</t>
  </si>
  <si>
    <t>Summe</t>
  </si>
  <si>
    <t>Absatz</t>
  </si>
  <si>
    <t>Wachstum</t>
  </si>
  <si>
    <t>Personalkosten pro  Monat</t>
  </si>
  <si>
    <t>pro Jahr</t>
  </si>
  <si>
    <t>Büro</t>
  </si>
  <si>
    <t>Inflation</t>
  </si>
  <si>
    <t>Miete p/qm</t>
  </si>
  <si>
    <t>Büro qm</t>
  </si>
  <si>
    <t>Stunden pro Woche</t>
  </si>
  <si>
    <t>Teammitglieder</t>
  </si>
  <si>
    <t>Wochen</t>
  </si>
  <si>
    <t>Gesamtstunden</t>
  </si>
  <si>
    <t>Durchschnittlicher Stundenlohn</t>
  </si>
  <si>
    <t>Personalkosten gesamt Entwicklung</t>
  </si>
  <si>
    <t>Produktkosten Prototyp</t>
  </si>
  <si>
    <t>Labour costs p. a.</t>
  </si>
  <si>
    <t>Revenue</t>
  </si>
  <si>
    <t>Sales figures</t>
  </si>
  <si>
    <t>Other costs (10 %)</t>
  </si>
  <si>
    <t>Total costs p. a.</t>
  </si>
  <si>
    <t>Proft p. a.</t>
  </si>
  <si>
    <t>Rent p. a.</t>
  </si>
  <si>
    <t>Production costs</t>
  </si>
  <si>
    <t>Year 01</t>
  </si>
  <si>
    <t>Year 02</t>
  </si>
  <si>
    <t>Year 03</t>
  </si>
  <si>
    <t>Year 04</t>
  </si>
  <si>
    <t>Year 05</t>
  </si>
  <si>
    <t>Year 06</t>
  </si>
  <si>
    <t>Year 07</t>
  </si>
  <si>
    <t>Year 08</t>
  </si>
  <si>
    <t>Year 09</t>
  </si>
  <si>
    <t>Year 10</t>
  </si>
  <si>
    <t>Zusätzlich 40 Produktionsmitarbeiter</t>
  </si>
  <si>
    <t>Year 00</t>
  </si>
  <si>
    <t>Investment</t>
  </si>
  <si>
    <t>Research</t>
  </si>
  <si>
    <t>Profit p. a.</t>
  </si>
  <si>
    <t>Total Investment</t>
  </si>
  <si>
    <t>Revenue (Price = 40 €)</t>
  </si>
  <si>
    <t>Improving the Prototype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</si>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</sst>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€&quot;;[Red]\-#,##0\ &quot;€&quot;"/>
    <numFmt numFmtId="44" formatCode="_-* #,##0.00\ &quot;€&quot;_-;\-* #,##0.00\ &quot;€&quot;_-;_-* &quot;-&quot;??\ &quot;€&quot;_-;_-@_-"/>
    <numFmt numFmtId="164" formatCode="_-* #,##0.00\ [$€-407]_-;\-* #,##0.00\ [$€-407]_-;_-* &quot;-&quot;??\ [$€-407]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33333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8" xfId="0" applyNumberFormat="1" applyBorder="1"/>
    <xf numFmtId="0" fontId="0" fillId="0" borderId="1" xfId="0" applyBorder="1"/>
    <xf numFmtId="0" fontId="3" fillId="0" borderId="1" xfId="0" applyFont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 wrapText="1"/>
    </xf>
    <xf numFmtId="0" fontId="0" fillId="0" borderId="0" xfId="0" applyAlignment="1">
      <alignment vertical="center"/>
    </xf>
    <xf numFmtId="164" fontId="0" fillId="0" borderId="9" xfId="0" applyNumberFormat="1" applyBorder="1"/>
    <xf numFmtId="164" fontId="0" fillId="0" borderId="0" xfId="0" applyNumberFormat="1"/>
    <xf numFmtId="164" fontId="0" fillId="0" borderId="7" xfId="0" applyNumberFormat="1" applyBorder="1"/>
    <xf numFmtId="6" fontId="0" fillId="0" borderId="0" xfId="0" applyNumberFormat="1"/>
    <xf numFmtId="0" fontId="0" fillId="3" borderId="1" xfId="0" applyFill="1" applyBorder="1"/>
    <xf numFmtId="164" fontId="0" fillId="3" borderId="1" xfId="0" applyNumberFormat="1" applyFill="1" applyBorder="1"/>
    <xf numFmtId="0" fontId="0" fillId="4" borderId="1" xfId="0" applyFill="1" applyBorder="1"/>
    <xf numFmtId="164" fontId="0" fillId="4" borderId="1" xfId="0" applyNumberFormat="1" applyFill="1" applyBorder="1"/>
    <xf numFmtId="0" fontId="0" fillId="5" borderId="1" xfId="0" applyFill="1" applyBorder="1"/>
    <xf numFmtId="2" fontId="0" fillId="5" borderId="1" xfId="0" applyNumberFormat="1" applyFill="1" applyBorder="1"/>
    <xf numFmtId="164" fontId="0" fillId="5" borderId="1" xfId="0" applyNumberFormat="1" applyFill="1" applyBorder="1"/>
    <xf numFmtId="0" fontId="0" fillId="5" borderId="0" xfId="0" applyFill="1"/>
    <xf numFmtId="0" fontId="0" fillId="6" borderId="1" xfId="0" applyFill="1" applyBorder="1"/>
    <xf numFmtId="164" fontId="0" fillId="6" borderId="1" xfId="0" applyNumberFormat="1" applyFill="1" applyBorder="1"/>
    <xf numFmtId="0" fontId="0" fillId="9" borderId="1" xfId="0" applyFill="1" applyBorder="1"/>
    <xf numFmtId="0" fontId="0" fillId="8" borderId="1" xfId="0" applyFill="1" applyBorder="1"/>
    <xf numFmtId="0" fontId="0" fillId="7" borderId="1" xfId="0" applyFill="1" applyBorder="1"/>
    <xf numFmtId="164" fontId="0" fillId="9" borderId="1" xfId="0" applyNumberFormat="1" applyFill="1" applyBorder="1"/>
    <xf numFmtId="164" fontId="0" fillId="7" borderId="1" xfId="0" applyNumberFormat="1" applyFill="1" applyBorder="1"/>
    <xf numFmtId="44" fontId="0" fillId="0" borderId="0" xfId="1" applyFont="1"/>
    <xf numFmtId="44" fontId="0" fillId="0" borderId="0" xfId="0" applyNumberFormat="1"/>
    <xf numFmtId="44" fontId="0" fillId="5" borderId="1" xfId="1" applyFont="1" applyFill="1" applyBorder="1"/>
    <xf numFmtId="44" fontId="0" fillId="6" borderId="1" xfId="1" applyFont="1" applyFill="1" applyBorder="1"/>
    <xf numFmtId="44" fontId="0" fillId="9" borderId="1" xfId="0" applyNumberFormat="1" applyFill="1" applyBorder="1"/>
    <xf numFmtId="164" fontId="0" fillId="8" borderId="1" xfId="0" applyNumberFormat="1" applyFill="1" applyBorder="1"/>
    <xf numFmtId="2" fontId="0" fillId="0" borderId="0" xfId="0" applyNumberFormat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9</xdr:row>
      <xdr:rowOff>69850</xdr:rowOff>
    </xdr:from>
    <xdr:to>
      <xdr:col>5</xdr:col>
      <xdr:colOff>685800</xdr:colOff>
      <xdr:row>9</xdr:row>
      <xdr:rowOff>69850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E8419C3E-CB23-9F30-F45E-5E81EB5EA399}"/>
            </a:ext>
          </a:extLst>
        </xdr:cNvPr>
        <xdr:cNvCxnSpPr/>
      </xdr:nvCxnSpPr>
      <xdr:spPr>
        <a:xfrm>
          <a:off x="5511800" y="1727200"/>
          <a:ext cx="62865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C0083-4230-43B0-9789-E72788A8982C}">
  <dimension ref="B2:I25"/>
  <sheetViews>
    <sheetView tabSelected="1" workbookViewId="0">
      <selection activeCell="B2" sqref="B2:I10"/>
    </sheetView>
  </sheetViews>
  <sheetFormatPr baseColWidth="10" defaultRowHeight="14.5" x14ac:dyDescent="0.35"/>
  <cols>
    <col min="2" max="2" width="22.1796875" customWidth="1"/>
    <col min="3" max="3" width="21.81640625" customWidth="1"/>
    <col min="4" max="4" width="12.26953125" customWidth="1"/>
    <col min="7" max="8" width="12.54296875" bestFit="1" customWidth="1"/>
    <col min="9" max="9" width="14.08984375" bestFit="1" customWidth="1"/>
  </cols>
  <sheetData>
    <row r="2" spans="2:9" x14ac:dyDescent="0.35">
      <c r="B2" s="6" t="s">
        <v>14</v>
      </c>
      <c r="C2" s="7"/>
    </row>
    <row r="3" spans="2:9" x14ac:dyDescent="0.35">
      <c r="B3" s="2"/>
      <c r="C3" s="4"/>
    </row>
    <row r="4" spans="2:9" x14ac:dyDescent="0.35">
      <c r="B4" s="2" t="s">
        <v>4</v>
      </c>
      <c r="C4" s="8">
        <v>3950</v>
      </c>
    </row>
    <row r="5" spans="2:9" x14ac:dyDescent="0.35">
      <c r="B5" s="2" t="s">
        <v>5</v>
      </c>
      <c r="C5" s="8">
        <v>5373</v>
      </c>
    </row>
    <row r="6" spans="2:9" x14ac:dyDescent="0.35">
      <c r="B6" s="2" t="s">
        <v>6</v>
      </c>
      <c r="C6" s="8">
        <v>5166</v>
      </c>
    </row>
    <row r="7" spans="2:9" x14ac:dyDescent="0.35">
      <c r="B7" s="2" t="s">
        <v>16</v>
      </c>
      <c r="C7" s="8">
        <v>3333</v>
      </c>
      <c r="G7" t="s">
        <v>45</v>
      </c>
    </row>
    <row r="8" spans="2:9" x14ac:dyDescent="0.35">
      <c r="B8" s="2" t="s">
        <v>16</v>
      </c>
      <c r="C8" s="8">
        <v>3333</v>
      </c>
      <c r="G8" s="34">
        <v>2538</v>
      </c>
      <c r="H8" s="35">
        <f>G8*40</f>
        <v>101520</v>
      </c>
      <c r="I8" s="35">
        <f>H8*12</f>
        <v>1218240</v>
      </c>
    </row>
    <row r="9" spans="2:9" x14ac:dyDescent="0.35">
      <c r="B9" s="3" t="s">
        <v>16</v>
      </c>
      <c r="C9" s="9">
        <v>3333</v>
      </c>
    </row>
    <row r="10" spans="2:9" x14ac:dyDescent="0.35">
      <c r="D10" s="17">
        <f>SUM(C4:C9)</f>
        <v>24488</v>
      </c>
      <c r="E10" s="7" t="s">
        <v>11</v>
      </c>
      <c r="G10" s="17">
        <f>D10*12</f>
        <v>293856</v>
      </c>
      <c r="H10" s="7" t="s">
        <v>15</v>
      </c>
      <c r="I10" s="35">
        <f>I8+G10</f>
        <v>1512096</v>
      </c>
    </row>
    <row r="12" spans="2:9" x14ac:dyDescent="0.35">
      <c r="B12" s="11" t="s">
        <v>9</v>
      </c>
      <c r="C12" s="11"/>
    </row>
    <row r="13" spans="2:9" x14ac:dyDescent="0.35">
      <c r="B13" s="11">
        <v>2023</v>
      </c>
      <c r="C13" s="12">
        <v>692989</v>
      </c>
    </row>
    <row r="14" spans="2:9" x14ac:dyDescent="0.35">
      <c r="B14" s="11">
        <v>2022</v>
      </c>
      <c r="C14" s="12">
        <v>738819</v>
      </c>
    </row>
    <row r="15" spans="2:9" x14ac:dyDescent="0.35">
      <c r="B15" s="11">
        <v>2021</v>
      </c>
      <c r="C15" s="12">
        <v>795492</v>
      </c>
    </row>
    <row r="16" spans="2:9" x14ac:dyDescent="0.35">
      <c r="B16" s="11">
        <v>2020</v>
      </c>
      <c r="C16" s="13">
        <v>773144</v>
      </c>
    </row>
    <row r="17" spans="2:8" x14ac:dyDescent="0.35">
      <c r="B17" s="11">
        <v>2019</v>
      </c>
      <c r="C17" s="12">
        <v>778090</v>
      </c>
    </row>
    <row r="18" spans="2:8" x14ac:dyDescent="0.35">
      <c r="B18" s="11">
        <v>2018</v>
      </c>
      <c r="C18" s="13">
        <v>787523</v>
      </c>
    </row>
    <row r="19" spans="2:8" x14ac:dyDescent="0.35">
      <c r="B19" s="11">
        <v>2017</v>
      </c>
      <c r="C19" s="12">
        <v>784901</v>
      </c>
    </row>
    <row r="20" spans="2:8" x14ac:dyDescent="0.35">
      <c r="B20" s="11">
        <v>2016</v>
      </c>
      <c r="C20" s="12">
        <v>792141</v>
      </c>
    </row>
    <row r="21" spans="2:8" x14ac:dyDescent="0.35">
      <c r="B21" s="11">
        <v>2015</v>
      </c>
      <c r="C21" s="12">
        <v>737575</v>
      </c>
    </row>
    <row r="22" spans="2:8" x14ac:dyDescent="0.35">
      <c r="B22" s="11">
        <v>2014</v>
      </c>
      <c r="C22" s="13">
        <v>714927</v>
      </c>
      <c r="H22">
        <f>75956*1.05</f>
        <v>79753.8</v>
      </c>
    </row>
    <row r="23" spans="2:8" x14ac:dyDescent="0.35">
      <c r="B23" s="11"/>
      <c r="C23" s="13"/>
      <c r="D23" s="6">
        <f>SUM(C13:C22)/10</f>
        <v>759560.1</v>
      </c>
      <c r="E23" s="7" t="s">
        <v>10</v>
      </c>
      <c r="G23">
        <f>D23/2</f>
        <v>379780.05</v>
      </c>
    </row>
    <row r="24" spans="2:8" x14ac:dyDescent="0.35">
      <c r="C24" s="14"/>
      <c r="D24" s="6">
        <f>SUM(C13:C22)</f>
        <v>7595601</v>
      </c>
      <c r="E24" s="7" t="s">
        <v>11</v>
      </c>
      <c r="G24">
        <f>D23*(2/6)</f>
        <v>253186.69999999998</v>
      </c>
    </row>
    <row r="25" spans="2:8" x14ac:dyDescent="0.35">
      <c r="G25">
        <f>D23*(1/6)</f>
        <v>126593.34999999999</v>
      </c>
    </row>
  </sheetData>
  <pageMargins left="0.7" right="0.7" top="0.78740157499999996" bottom="0.78740157499999996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9B144-4CC0-4CAC-A91B-E3FD7E3E4C45}">
  <dimension ref="B2:O26"/>
  <sheetViews>
    <sheetView zoomScale="70" zoomScaleNormal="70" workbookViewId="0">
      <selection activeCell="E19" sqref="E19"/>
    </sheetView>
  </sheetViews>
  <sheetFormatPr baseColWidth="10" defaultRowHeight="14.5" x14ac:dyDescent="0.35"/>
  <cols>
    <col min="2" max="2" width="32.6328125" customWidth="1"/>
    <col min="3" max="3" width="21.7265625" customWidth="1"/>
    <col min="5" max="5" width="21.90625" customWidth="1"/>
    <col min="6" max="15" width="14.08984375" bestFit="1" customWidth="1"/>
  </cols>
  <sheetData>
    <row r="2" spans="2:15" x14ac:dyDescent="0.35">
      <c r="B2" s="1" t="s">
        <v>0</v>
      </c>
    </row>
    <row r="4" spans="2:15" x14ac:dyDescent="0.35">
      <c r="B4" s="6" t="s">
        <v>1</v>
      </c>
      <c r="C4" s="7"/>
      <c r="E4" s="11"/>
      <c r="F4" s="11" t="s">
        <v>35</v>
      </c>
      <c r="G4" s="11" t="s">
        <v>36</v>
      </c>
      <c r="H4" s="11" t="s">
        <v>37</v>
      </c>
      <c r="I4" s="11" t="s">
        <v>38</v>
      </c>
      <c r="J4" s="11" t="s">
        <v>39</v>
      </c>
      <c r="K4" s="11" t="s">
        <v>40</v>
      </c>
      <c r="L4" s="11" t="s">
        <v>41</v>
      </c>
      <c r="M4" s="11" t="s">
        <v>42</v>
      </c>
      <c r="N4" s="11" t="s">
        <v>43</v>
      </c>
      <c r="O4" s="11" t="s">
        <v>44</v>
      </c>
    </row>
    <row r="5" spans="2:15" x14ac:dyDescent="0.35">
      <c r="B5" s="2"/>
      <c r="C5" s="5"/>
      <c r="E5" s="23" t="s">
        <v>29</v>
      </c>
      <c r="F5" s="24">
        <f>C11*0.02+B26</f>
        <v>394971.25200000004</v>
      </c>
      <c r="G5" s="24">
        <f>F5*$C$12+B26</f>
        <v>794499.86460000009</v>
      </c>
      <c r="H5" s="24">
        <f>C11*0.02*$C$12</f>
        <v>15950.7621</v>
      </c>
      <c r="I5" s="24">
        <f>H5*$C$12</f>
        <v>16748.300205</v>
      </c>
      <c r="J5" s="24">
        <f t="shared" ref="J5:O5" si="0">I5*$C$12</f>
        <v>17585.715215250002</v>
      </c>
      <c r="K5" s="24">
        <f t="shared" si="0"/>
        <v>18465.000976012503</v>
      </c>
      <c r="L5" s="24">
        <f t="shared" si="0"/>
        <v>19388.251024813129</v>
      </c>
      <c r="M5" s="24">
        <f t="shared" si="0"/>
        <v>20357.663576053787</v>
      </c>
      <c r="N5" s="24">
        <f t="shared" si="0"/>
        <v>21375.546754856477</v>
      </c>
      <c r="O5" s="24">
        <f t="shared" si="0"/>
        <v>22444.324092599301</v>
      </c>
    </row>
    <row r="6" spans="2:15" x14ac:dyDescent="0.35">
      <c r="B6" s="2"/>
      <c r="C6" s="8"/>
      <c r="E6" s="27" t="s">
        <v>28</v>
      </c>
      <c r="F6" s="28">
        <f>$C$10*F5</f>
        <v>15798850.080000002</v>
      </c>
      <c r="G6" s="28">
        <f>$C$10*$C$13*G5</f>
        <v>32415594.475680001</v>
      </c>
      <c r="H6" s="28">
        <f t="shared" ref="H6:N6" si="1">$C$10*$C$13*H5</f>
        <v>650791.09367999993</v>
      </c>
      <c r="I6" s="28">
        <f t="shared" si="1"/>
        <v>683330.64836399991</v>
      </c>
      <c r="J6" s="28">
        <f t="shared" si="1"/>
        <v>717497.18078220007</v>
      </c>
      <c r="K6" s="28">
        <f t="shared" si="1"/>
        <v>753372.03982131009</v>
      </c>
      <c r="L6" s="28">
        <f t="shared" si="1"/>
        <v>791040.64181237563</v>
      </c>
      <c r="M6" s="28">
        <f t="shared" si="1"/>
        <v>830592.67390299449</v>
      </c>
      <c r="N6" s="28">
        <f t="shared" si="1"/>
        <v>872122.30759814417</v>
      </c>
      <c r="O6" s="28">
        <f>$C$10*$C$13*O5</f>
        <v>915728.42297805147</v>
      </c>
    </row>
    <row r="7" spans="2:15" x14ac:dyDescent="0.35">
      <c r="B7" s="2" t="s">
        <v>2</v>
      </c>
      <c r="C7" s="8">
        <v>293856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</row>
    <row r="8" spans="2:15" x14ac:dyDescent="0.35">
      <c r="B8" s="3" t="s">
        <v>3</v>
      </c>
      <c r="C8" s="9">
        <v>5.88</v>
      </c>
      <c r="E8" s="27" t="s">
        <v>27</v>
      </c>
      <c r="F8" s="28">
        <f>C7</f>
        <v>293856</v>
      </c>
      <c r="G8" s="28">
        <f>F8*$C$13</f>
        <v>299733.12</v>
      </c>
      <c r="H8" s="28">
        <f t="shared" ref="H8:O8" si="2">G8*$C$13</f>
        <v>305727.78240000003</v>
      </c>
      <c r="I8" s="28">
        <f t="shared" si="2"/>
        <v>311842.33804800001</v>
      </c>
      <c r="J8" s="28">
        <f t="shared" si="2"/>
        <v>318079.18480896001</v>
      </c>
      <c r="K8" s="28">
        <f t="shared" si="2"/>
        <v>324440.76850513922</v>
      </c>
      <c r="L8" s="28">
        <f t="shared" si="2"/>
        <v>330929.58387524198</v>
      </c>
      <c r="M8" s="28">
        <f t="shared" si="2"/>
        <v>337548.1755527468</v>
      </c>
      <c r="N8" s="28">
        <f t="shared" si="2"/>
        <v>344299.13906380173</v>
      </c>
      <c r="O8" s="28">
        <f t="shared" si="2"/>
        <v>351185.12184507778</v>
      </c>
    </row>
    <row r="9" spans="2:15" x14ac:dyDescent="0.35">
      <c r="B9" s="6" t="s">
        <v>7</v>
      </c>
      <c r="C9" s="10"/>
      <c r="E9" s="23" t="s">
        <v>34</v>
      </c>
      <c r="F9" s="25">
        <f>$C$8*F5</f>
        <v>2322430.9617600003</v>
      </c>
      <c r="G9" s="25">
        <f>$C$8*$C$13*G5</f>
        <v>4765092.3879249608</v>
      </c>
      <c r="H9" s="25">
        <f t="shared" ref="H9:O9" si="3">$C$8*$C$13*H5</f>
        <v>95666.290770959997</v>
      </c>
      <c r="I9" s="25">
        <f t="shared" si="3"/>
        <v>100449.605309508</v>
      </c>
      <c r="J9" s="25">
        <f t="shared" si="3"/>
        <v>105472.08557498342</v>
      </c>
      <c r="K9" s="25">
        <f t="shared" si="3"/>
        <v>110745.68985373259</v>
      </c>
      <c r="L9" s="25">
        <f t="shared" si="3"/>
        <v>116282.97434641923</v>
      </c>
      <c r="M9" s="25">
        <f t="shared" si="3"/>
        <v>122097.12306374019</v>
      </c>
      <c r="N9" s="25">
        <f t="shared" si="3"/>
        <v>128201.97921692721</v>
      </c>
      <c r="O9" s="25">
        <f t="shared" si="3"/>
        <v>134612.07817777357</v>
      </c>
    </row>
    <row r="10" spans="2:15" x14ac:dyDescent="0.35">
      <c r="B10" s="6" t="s">
        <v>8</v>
      </c>
      <c r="C10" s="10">
        <v>40</v>
      </c>
      <c r="E10" s="27" t="s">
        <v>33</v>
      </c>
      <c r="F10" s="28">
        <f>$C$14*$C$15*12</f>
        <v>56700</v>
      </c>
      <c r="G10" s="28">
        <f>F10*$C$13</f>
        <v>57834</v>
      </c>
      <c r="H10" s="28">
        <f>G10*$C$13</f>
        <v>58990.68</v>
      </c>
      <c r="I10" s="28">
        <f t="shared" ref="I10:O10" si="4">H10*$C$13</f>
        <v>60170.493600000002</v>
      </c>
      <c r="J10" s="28">
        <f t="shared" si="4"/>
        <v>61373.903472000005</v>
      </c>
      <c r="K10" s="28">
        <f t="shared" si="4"/>
        <v>62601.381541440009</v>
      </c>
      <c r="L10" s="28">
        <f t="shared" si="4"/>
        <v>63853.40917226881</v>
      </c>
      <c r="M10" s="28">
        <f t="shared" si="4"/>
        <v>65130.477355714189</v>
      </c>
      <c r="N10" s="28">
        <f t="shared" si="4"/>
        <v>66433.08690282848</v>
      </c>
      <c r="O10" s="28">
        <f t="shared" si="4"/>
        <v>67761.748640885053</v>
      </c>
    </row>
    <row r="11" spans="2:15" x14ac:dyDescent="0.35">
      <c r="B11" s="6" t="s">
        <v>12</v>
      </c>
      <c r="C11" s="7">
        <v>759560.1</v>
      </c>
      <c r="E11" s="23" t="s">
        <v>30</v>
      </c>
      <c r="F11" s="25">
        <f>SUM(F8:F10)*0.1</f>
        <v>267298.69617600006</v>
      </c>
      <c r="G11" s="25">
        <f t="shared" ref="G11:O11" si="5">SUM(G8:G10)*0.1</f>
        <v>512265.95079249609</v>
      </c>
      <c r="H11" s="25">
        <f t="shared" si="5"/>
        <v>46038.475317096003</v>
      </c>
      <c r="I11" s="25">
        <f t="shared" si="5"/>
        <v>47246.243695750803</v>
      </c>
      <c r="J11" s="25">
        <f t="shared" si="5"/>
        <v>48492.51738559435</v>
      </c>
      <c r="K11" s="25">
        <f t="shared" si="5"/>
        <v>49778.783990031188</v>
      </c>
      <c r="L11" s="25">
        <f t="shared" si="5"/>
        <v>51106.596739393004</v>
      </c>
      <c r="M11" s="25">
        <f t="shared" si="5"/>
        <v>52477.57759722013</v>
      </c>
      <c r="N11" s="25">
        <f t="shared" si="5"/>
        <v>53893.42051835575</v>
      </c>
      <c r="O11" s="25">
        <f t="shared" si="5"/>
        <v>55355.894866373652</v>
      </c>
    </row>
    <row r="12" spans="2:15" x14ac:dyDescent="0.35">
      <c r="B12" s="6" t="s">
        <v>13</v>
      </c>
      <c r="C12" s="7">
        <v>1.05</v>
      </c>
      <c r="E12" s="19" t="s">
        <v>31</v>
      </c>
      <c r="F12" s="20">
        <f>SUM(F8:F11)</f>
        <v>2940285.6579360003</v>
      </c>
      <c r="G12" s="20">
        <f t="shared" ref="G12:O12" si="6">SUM(G8:G11)</f>
        <v>5634925.458717457</v>
      </c>
      <c r="H12" s="20">
        <f t="shared" si="6"/>
        <v>506423.22848805599</v>
      </c>
      <c r="I12" s="20">
        <f t="shared" si="6"/>
        <v>519708.68065325881</v>
      </c>
      <c r="J12" s="20">
        <f t="shared" si="6"/>
        <v>533417.6912415378</v>
      </c>
      <c r="K12" s="20">
        <f t="shared" si="6"/>
        <v>547566.62389034301</v>
      </c>
      <c r="L12" s="20">
        <f t="shared" si="6"/>
        <v>562172.56413332303</v>
      </c>
      <c r="M12" s="20">
        <f t="shared" si="6"/>
        <v>577253.35356942134</v>
      </c>
      <c r="N12" s="20">
        <f t="shared" si="6"/>
        <v>592827.62570191326</v>
      </c>
      <c r="O12" s="20">
        <f t="shared" si="6"/>
        <v>608914.84353011008</v>
      </c>
    </row>
    <row r="13" spans="2:15" x14ac:dyDescent="0.35">
      <c r="B13" s="6" t="s">
        <v>17</v>
      </c>
      <c r="C13" s="7">
        <v>1.02</v>
      </c>
      <c r="E13" s="21" t="s">
        <v>32</v>
      </c>
      <c r="F13" s="22">
        <f>F6-F12</f>
        <v>12858564.422064003</v>
      </c>
      <c r="G13" s="22">
        <f t="shared" ref="G13:O13" si="7">G6-G12</f>
        <v>26780669.016962543</v>
      </c>
      <c r="H13" s="22">
        <f t="shared" si="7"/>
        <v>144367.86519194394</v>
      </c>
      <c r="I13" s="22">
        <f t="shared" si="7"/>
        <v>163621.9677107411</v>
      </c>
      <c r="J13" s="22">
        <f t="shared" si="7"/>
        <v>184079.48954066227</v>
      </c>
      <c r="K13" s="22">
        <f t="shared" si="7"/>
        <v>205805.41593096708</v>
      </c>
      <c r="L13" s="22">
        <f t="shared" si="7"/>
        <v>228868.0776790526</v>
      </c>
      <c r="M13" s="22">
        <f t="shared" si="7"/>
        <v>253339.32033357315</v>
      </c>
      <c r="N13" s="22">
        <f t="shared" si="7"/>
        <v>279294.6818962309</v>
      </c>
      <c r="O13" s="22">
        <f t="shared" si="7"/>
        <v>306813.57944794139</v>
      </c>
    </row>
    <row r="14" spans="2:15" x14ac:dyDescent="0.35">
      <c r="B14" s="2" t="s">
        <v>18</v>
      </c>
      <c r="C14" s="15">
        <v>22.5</v>
      </c>
    </row>
    <row r="15" spans="2:15" x14ac:dyDescent="0.35">
      <c r="B15" s="6" t="s">
        <v>19</v>
      </c>
      <c r="C15" s="7">
        <v>210</v>
      </c>
    </row>
    <row r="18" spans="2:3" x14ac:dyDescent="0.35">
      <c r="B18" t="s">
        <v>20</v>
      </c>
      <c r="C18">
        <v>8</v>
      </c>
    </row>
    <row r="19" spans="2:3" x14ac:dyDescent="0.35">
      <c r="B19" t="s">
        <v>21</v>
      </c>
      <c r="C19">
        <v>6</v>
      </c>
    </row>
    <row r="20" spans="2:3" x14ac:dyDescent="0.35">
      <c r="B20" t="s">
        <v>22</v>
      </c>
      <c r="C20">
        <v>8</v>
      </c>
    </row>
    <row r="21" spans="2:3" x14ac:dyDescent="0.35">
      <c r="B21" t="s">
        <v>23</v>
      </c>
      <c r="C21">
        <f>C18*C20*C19</f>
        <v>384</v>
      </c>
    </row>
    <row r="22" spans="2:3" x14ac:dyDescent="0.35">
      <c r="B22" t="s">
        <v>24</v>
      </c>
      <c r="C22">
        <f>24488/6/160</f>
        <v>25.508333333333333</v>
      </c>
    </row>
    <row r="23" spans="2:3" x14ac:dyDescent="0.35">
      <c r="B23" t="s">
        <v>25</v>
      </c>
      <c r="C23" s="16">
        <f>C21*C22</f>
        <v>9795.2000000000007</v>
      </c>
    </row>
    <row r="24" spans="2:3" x14ac:dyDescent="0.35">
      <c r="B24" t="s">
        <v>26</v>
      </c>
      <c r="C24" s="18">
        <v>65</v>
      </c>
    </row>
    <row r="26" spans="2:3" x14ac:dyDescent="0.35">
      <c r="B26">
        <f>C11*10*0.05</f>
        <v>379780.05000000005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BFE75-33AF-4B8C-90D3-678FD3D5D0C3}">
  <dimension ref="B3:I20"/>
  <sheetViews>
    <sheetView workbookViewId="0">
      <selection activeCell="E9" sqref="E9"/>
    </sheetView>
  </sheetViews>
  <sheetFormatPr baseColWidth="10" defaultRowHeight="14.5" x14ac:dyDescent="0.35"/>
  <cols>
    <col min="2" max="2" width="19.453125" customWidth="1"/>
    <col min="3" max="3" width="14.08984375" bestFit="1" customWidth="1"/>
    <col min="4" max="4" width="15.1796875" customWidth="1"/>
    <col min="5" max="5" width="15.1796875" bestFit="1" customWidth="1"/>
    <col min="6" max="6" width="15.36328125" customWidth="1"/>
    <col min="7" max="7" width="15.81640625" customWidth="1"/>
    <col min="8" max="8" width="15.36328125" customWidth="1"/>
  </cols>
  <sheetData>
    <row r="3" spans="2:9" x14ac:dyDescent="0.35">
      <c r="C3" s="27" t="s">
        <v>46</v>
      </c>
      <c r="D3" s="27" t="s">
        <v>35</v>
      </c>
      <c r="E3" s="27" t="s">
        <v>36</v>
      </c>
      <c r="F3" s="27" t="s">
        <v>37</v>
      </c>
      <c r="G3" s="27" t="s">
        <v>38</v>
      </c>
      <c r="H3" s="27" t="s">
        <v>39</v>
      </c>
    </row>
    <row r="4" spans="2:9" x14ac:dyDescent="0.35">
      <c r="B4" s="23" t="s">
        <v>48</v>
      </c>
      <c r="C4" s="25">
        <v>15000</v>
      </c>
      <c r="D4" s="25">
        <v>0</v>
      </c>
      <c r="E4" s="25">
        <v>0</v>
      </c>
      <c r="F4" s="25">
        <v>0</v>
      </c>
      <c r="G4" s="25">
        <v>0</v>
      </c>
      <c r="H4" s="25">
        <v>0</v>
      </c>
    </row>
    <row r="5" spans="2:9" x14ac:dyDescent="0.35">
      <c r="B5" s="27" t="s">
        <v>47</v>
      </c>
      <c r="C5" s="28">
        <v>4300000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</row>
    <row r="6" spans="2:9" x14ac:dyDescent="0.35">
      <c r="B6" s="23" t="s">
        <v>29</v>
      </c>
      <c r="C6" s="23">
        <v>0</v>
      </c>
      <c r="D6" s="24">
        <f>75956</f>
        <v>75956</v>
      </c>
      <c r="E6" s="24">
        <f>D6*1.8</f>
        <v>136720.80000000002</v>
      </c>
      <c r="F6" s="24">
        <f>E6*1.5</f>
        <v>205081.2</v>
      </c>
      <c r="G6" s="24">
        <f>F6*1.05</f>
        <v>215335.26</v>
      </c>
      <c r="H6" s="24">
        <f>G6*1.05</f>
        <v>226102.02300000002</v>
      </c>
      <c r="I6" s="40"/>
    </row>
    <row r="7" spans="2:9" x14ac:dyDescent="0.35">
      <c r="B7" s="27" t="s">
        <v>51</v>
      </c>
      <c r="C7" s="28">
        <v>0</v>
      </c>
      <c r="D7" s="28">
        <f>40*D6</f>
        <v>3038240</v>
      </c>
      <c r="E7" s="28">
        <f t="shared" ref="E7:H7" si="0">40*E6</f>
        <v>5468832.0000000009</v>
      </c>
      <c r="F7" s="28">
        <f t="shared" si="0"/>
        <v>8203248</v>
      </c>
      <c r="G7" s="28">
        <f t="shared" si="0"/>
        <v>8613410.4000000004</v>
      </c>
      <c r="H7" s="28">
        <f t="shared" si="0"/>
        <v>9044080.9199999999</v>
      </c>
    </row>
    <row r="8" spans="2:9" x14ac:dyDescent="0.35">
      <c r="B8" s="23" t="s">
        <v>27</v>
      </c>
      <c r="C8" s="36">
        <v>0</v>
      </c>
      <c r="D8" s="36">
        <f>1512096</f>
        <v>1512096</v>
      </c>
      <c r="E8" s="36">
        <f>D8*1.02</f>
        <v>1542337.92</v>
      </c>
      <c r="F8" s="36">
        <f t="shared" ref="F8:H8" si="1">E8*1.02</f>
        <v>1573184.6783999999</v>
      </c>
      <c r="G8" s="36">
        <f t="shared" si="1"/>
        <v>1604648.371968</v>
      </c>
      <c r="H8" s="36">
        <f t="shared" si="1"/>
        <v>1636741.3394073599</v>
      </c>
    </row>
    <row r="9" spans="2:9" x14ac:dyDescent="0.35">
      <c r="B9" s="27" t="s">
        <v>34</v>
      </c>
      <c r="C9" s="37">
        <v>0</v>
      </c>
      <c r="D9" s="37">
        <f>D6*5.88</f>
        <v>446621.27999999997</v>
      </c>
      <c r="E9" s="37">
        <f>E6*5.88</f>
        <v>803918.30400000012</v>
      </c>
      <c r="F9" s="37">
        <f>F6*5.88</f>
        <v>1205877.456</v>
      </c>
      <c r="G9" s="37">
        <f t="shared" ref="F9:H9" si="2">G6*5.88</f>
        <v>1266171.3288</v>
      </c>
      <c r="H9" s="37">
        <f t="shared" si="2"/>
        <v>1329479.89524</v>
      </c>
    </row>
    <row r="10" spans="2:9" x14ac:dyDescent="0.35">
      <c r="B10" s="23" t="s">
        <v>33</v>
      </c>
      <c r="C10" s="36">
        <v>0</v>
      </c>
      <c r="D10" s="36">
        <v>56700</v>
      </c>
      <c r="E10" s="36">
        <f>D10*1.02</f>
        <v>57834</v>
      </c>
      <c r="F10" s="36">
        <f t="shared" ref="F10:H10" si="3">E10*1.02</f>
        <v>58990.68</v>
      </c>
      <c r="G10" s="36">
        <f t="shared" si="3"/>
        <v>60170.493600000002</v>
      </c>
      <c r="H10" s="36">
        <f t="shared" si="3"/>
        <v>61373.903472000005</v>
      </c>
    </row>
    <row r="11" spans="2:9" x14ac:dyDescent="0.35">
      <c r="B11" s="27" t="s">
        <v>30</v>
      </c>
      <c r="C11" s="37">
        <v>0</v>
      </c>
      <c r="D11" s="37">
        <f>SUM(D8:D10)*0.1</f>
        <v>201541.728</v>
      </c>
      <c r="E11" s="37">
        <f t="shared" ref="E11:H11" si="4">SUM(E8:E10)*0.1</f>
        <v>240409.02240000002</v>
      </c>
      <c r="F11" s="37">
        <f t="shared" si="4"/>
        <v>283805.28143999999</v>
      </c>
      <c r="G11" s="37">
        <f t="shared" si="4"/>
        <v>293099.01943680004</v>
      </c>
      <c r="H11" s="37">
        <f t="shared" si="4"/>
        <v>302759.51381193596</v>
      </c>
    </row>
    <row r="12" spans="2:9" x14ac:dyDescent="0.35">
      <c r="B12" s="29" t="s">
        <v>31</v>
      </c>
      <c r="C12" s="32">
        <f>C4+C5</f>
        <v>4315000</v>
      </c>
      <c r="D12" s="38">
        <f>SUM(D8:D11)</f>
        <v>2216959.0079999999</v>
      </c>
      <c r="E12" s="38">
        <f t="shared" ref="E12:H12" si="5">SUM(E8:E11)</f>
        <v>2644499.2464000001</v>
      </c>
      <c r="F12" s="38">
        <f>SUM(F8:F11)</f>
        <v>3121858.0958400001</v>
      </c>
      <c r="G12" s="38">
        <f t="shared" si="5"/>
        <v>3224089.2138048001</v>
      </c>
      <c r="H12" s="38">
        <f t="shared" si="5"/>
        <v>3330354.6519312956</v>
      </c>
    </row>
    <row r="13" spans="2:9" x14ac:dyDescent="0.35">
      <c r="B13" s="30" t="s">
        <v>49</v>
      </c>
      <c r="C13" s="39">
        <f>0</f>
        <v>0</v>
      </c>
      <c r="D13" s="39">
        <f>D7-D12</f>
        <v>821280.99200000009</v>
      </c>
      <c r="E13" s="39">
        <f t="shared" ref="E13:H13" si="6">E7-E12</f>
        <v>2824332.7536000009</v>
      </c>
      <c r="F13" s="39">
        <f t="shared" si="6"/>
        <v>5081389.9041600004</v>
      </c>
      <c r="G13" s="39">
        <f t="shared" si="6"/>
        <v>5389321.1861952003</v>
      </c>
      <c r="H13" s="39">
        <f t="shared" si="6"/>
        <v>5713726.2680687048</v>
      </c>
    </row>
    <row r="14" spans="2:9" x14ac:dyDescent="0.35">
      <c r="B14" s="31" t="s">
        <v>50</v>
      </c>
      <c r="C14" s="33">
        <f>C13-C12</f>
        <v>-4315000</v>
      </c>
      <c r="D14" s="33">
        <f>D13+C14</f>
        <v>-3493719.0079999999</v>
      </c>
      <c r="E14" s="33">
        <f t="shared" ref="E14:G14" si="7">E13+D14</f>
        <v>-669386.25439999904</v>
      </c>
      <c r="F14" s="33">
        <f t="shared" si="7"/>
        <v>4412003.6497600013</v>
      </c>
      <c r="G14" s="33">
        <f t="shared" si="7"/>
        <v>9801324.8359552026</v>
      </c>
      <c r="H14" s="33">
        <f>H13+G14</f>
        <v>15515051.104023907</v>
      </c>
    </row>
    <row r="18" spans="3:3" x14ac:dyDescent="0.35">
      <c r="C18" t="s">
        <v>48</v>
      </c>
    </row>
    <row r="19" spans="3:3" x14ac:dyDescent="0.35">
      <c r="C19" t="s">
        <v>52</v>
      </c>
    </row>
    <row r="20" spans="3:3" x14ac:dyDescent="0.35">
      <c r="C20" t="s">
        <v>53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Input</vt:lpstr>
      <vt:lpstr>Cashflow</vt:lpstr>
      <vt:lpstr>Total Investment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Held</dc:creator>
  <cp:lastModifiedBy>Philipp Held</cp:lastModifiedBy>
  <dcterms:created xsi:type="dcterms:W3CDTF">2024-11-24T11:35:53Z</dcterms:created>
  <dcterms:modified xsi:type="dcterms:W3CDTF">2024-12-18T14:19:00Z</dcterms:modified>
</cp:coreProperties>
</file>