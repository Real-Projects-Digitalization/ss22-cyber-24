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86a2184c5d5a17/Dokumente/Studium/7. Semester/Entrepreneuship/"/>
    </mc:Choice>
  </mc:AlternateContent>
  <xr:revisionPtr revIDLastSave="83" documentId="8_{0D326661-45DD-430B-8D7F-BB8C930A4F09}" xr6:coauthVersionLast="47" xr6:coauthVersionMax="47" xr10:uidLastSave="{06B9C429-D941-4B0A-BA65-B1716D3338DD}"/>
  <bookViews>
    <workbookView xWindow="-110" yWindow="-110" windowWidth="19420" windowHeight="10420" xr2:uid="{5DE34B40-FFD6-4C70-B5FD-CD2794481551}"/>
  </bookViews>
  <sheets>
    <sheet name="Finale Cashflowprognose" sheetId="1" r:id="rId1"/>
    <sheet name="Personalkos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 s="1"/>
  <c r="F10" i="1"/>
  <c r="G10" i="1"/>
  <c r="C15" i="1"/>
  <c r="F11" i="1"/>
  <c r="G11" i="1" s="1"/>
  <c r="H11" i="1" s="1"/>
  <c r="E11" i="1"/>
  <c r="H10" i="1"/>
  <c r="F9" i="1"/>
  <c r="G9" i="1" s="1"/>
  <c r="E9" i="1"/>
  <c r="D11" i="2"/>
  <c r="G11" i="2" s="1"/>
  <c r="C13" i="1"/>
  <c r="F12" i="1" l="1"/>
  <c r="F13" i="1"/>
  <c r="D10" i="1"/>
  <c r="D12" i="1" s="1"/>
  <c r="D8" i="1"/>
  <c r="E8" i="1"/>
  <c r="E10" i="1"/>
  <c r="G12" i="1"/>
  <c r="G13" i="1" s="1"/>
  <c r="H9" i="1"/>
  <c r="H12" i="1" s="1"/>
  <c r="H13" i="1" s="1"/>
  <c r="D13" i="1" l="1"/>
  <c r="D14" i="1" s="1"/>
  <c r="D15" i="1" s="1"/>
  <c r="E12" i="1"/>
  <c r="E13" i="1" s="1"/>
  <c r="E14" i="1" s="1"/>
  <c r="F8" i="1"/>
  <c r="F14" i="1" s="1"/>
  <c r="E15" i="1" l="1"/>
  <c r="F15" i="1" s="1"/>
  <c r="G8" i="1"/>
  <c r="G14" i="1" s="1"/>
  <c r="G15" i="1" s="1"/>
  <c r="H8" i="1"/>
  <c r="H14" i="1" s="1"/>
  <c r="H15" i="1" l="1"/>
</calcChain>
</file>

<file path=xl/sharedStrings.xml><?xml version="1.0" encoding="utf-8"?>
<sst xmlns="http://schemas.openxmlformats.org/spreadsheetml/2006/main" count="27" uniqueCount="25">
  <si>
    <t>Finale Cashflowprognose</t>
  </si>
  <si>
    <t>Research</t>
  </si>
  <si>
    <t>Investment</t>
  </si>
  <si>
    <t>Sales figuers</t>
  </si>
  <si>
    <t>Labour costs p. a.</t>
  </si>
  <si>
    <t>Rent p. a.</t>
  </si>
  <si>
    <t>Other costs (10 %)</t>
  </si>
  <si>
    <t>Total costs p. a.</t>
  </si>
  <si>
    <t>Profit p. a.</t>
  </si>
  <si>
    <t>Total investment</t>
  </si>
  <si>
    <t>Year 00</t>
  </si>
  <si>
    <t>Year 02</t>
  </si>
  <si>
    <t>Year 03</t>
  </si>
  <si>
    <t>Year 01</t>
  </si>
  <si>
    <t>Year 04</t>
  </si>
  <si>
    <t>Year 05</t>
  </si>
  <si>
    <t>Revenue (Price = 30 €)</t>
  </si>
  <si>
    <t>Personalkosten pro  Monat</t>
  </si>
  <si>
    <t>Techie</t>
  </si>
  <si>
    <t>Speaker</t>
  </si>
  <si>
    <t>Finance</t>
  </si>
  <si>
    <t>Büro</t>
  </si>
  <si>
    <t>Summe</t>
  </si>
  <si>
    <t>pro Jahr</t>
  </si>
  <si>
    <t>Production costs (=4,67 € p. Stk.)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</si>
</sst>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44" fontId="0" fillId="0" borderId="0" xfId="1" applyFont="1"/>
    <xf numFmtId="44" fontId="0" fillId="0" borderId="0" xfId="0" applyNumberFormat="1"/>
    <xf numFmtId="0" fontId="0" fillId="0" borderId="7" xfId="0" applyBorder="1"/>
    <xf numFmtId="164" fontId="0" fillId="0" borderId="8" xfId="0" applyNumberFormat="1" applyBorder="1"/>
    <xf numFmtId="164" fontId="0" fillId="0" borderId="2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" fontId="0" fillId="0" borderId="1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740834</xdr:colOff>
      <xdr:row>16</xdr:row>
      <xdr:rowOff>105834</xdr:rowOff>
    </xdr:from>
    <xdr:to>
      <xdr:col>5</xdr:col>
      <xdr:colOff>8141</xdr:colOff>
      <xdr:row>19</xdr:row>
      <xdr:rowOff>16282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D2CD2C91-671E-38C8-8C49-080F8456CE39}"/>
            </a:ext>
          </a:extLst>
        </xdr:cNvPr>
        <xdr:cNvSpPr txBox="1"/>
      </xdr:nvSpPr>
      <xdr:spPr>
        <a:xfrm>
          <a:off x="740834" y="3101731"/>
          <a:ext cx="4347307" cy="4721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 kern="1200"/>
            <a:t>Investment</a:t>
          </a:r>
          <a:r>
            <a:rPr lang="de-DE" sz="1100" b="1" kern="1200" baseline="0"/>
            <a:t> </a:t>
          </a:r>
          <a:r>
            <a:rPr lang="de-DE" sz="1100" kern="1200" baseline="0"/>
            <a:t>-&gt; Is needed for an invstment in a machine to automate the production ofe the braclet</a:t>
          </a:r>
        </a:p>
      </xdr:txBody>
    </xdr:sp>
    <xdr:clientData/>
  </xdr:twoCellAnchor>
  <xdr:twoCellAnchor>
    <xdr:from>
      <xdr:col>0</xdr:col>
      <xdr:colOff>350064</xdr:colOff>
      <xdr:row>17</xdr:row>
      <xdr:rowOff>170962</xdr:rowOff>
    </xdr:from>
    <xdr:to>
      <xdr:col>0</xdr:col>
      <xdr:colOff>667564</xdr:colOff>
      <xdr:row>17</xdr:row>
      <xdr:rowOff>170962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D1B4D16E-BB4E-E78F-4750-59D800E5A4AB}"/>
            </a:ext>
          </a:extLst>
        </xdr:cNvPr>
        <xdr:cNvCxnSpPr/>
      </xdr:nvCxnSpPr>
      <xdr:spPr>
        <a:xfrm>
          <a:off x="350064" y="3354103"/>
          <a:ext cx="317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358205</xdr:colOff>
      <xdr:row>5</xdr:row>
      <xdr:rowOff>146538</xdr:rowOff>
    </xdr:from>
    <xdr:to>
      <xdr:col>0</xdr:col>
      <xdr:colOff>366346</xdr:colOff>
      <xdr:row>17</xdr:row>
      <xdr:rowOff>179102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1A5442B9-1762-A51B-01D1-EF13BCB60BEB}"/>
            </a:ext>
          </a:extLst>
        </xdr:cNvPr>
        <xdr:cNvCxnSpPr/>
      </xdr:nvCxnSpPr>
      <xdr:spPr>
        <a:xfrm flipH="1">
          <a:off x="358205" y="1082756"/>
          <a:ext cx="8141" cy="227948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358205</xdr:colOff>
      <xdr:row>5</xdr:row>
      <xdr:rowOff>154679</xdr:rowOff>
    </xdr:from>
    <xdr:to>
      <xdr:col>0</xdr:col>
      <xdr:colOff>732692</xdr:colOff>
      <xdr:row>5</xdr:row>
      <xdr:rowOff>154679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CF2813BF-1721-D7B9-9708-83996C2036F5}"/>
            </a:ext>
          </a:extLst>
        </xdr:cNvPr>
        <xdr:cNvCxnSpPr/>
      </xdr:nvCxnSpPr>
      <xdr:spPr>
        <a:xfrm>
          <a:off x="358205" y="1090897"/>
          <a:ext cx="37448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69850</xdr:rowOff>
    </xdr:from>
    <xdr:to>
      <xdr:col>5</xdr:col>
      <xdr:colOff>685800</xdr:colOff>
      <xdr:row>10</xdr:row>
      <xdr:rowOff>69850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EF8FEEE4-FE8D-4DCA-83C7-B53351986DDD}"/>
            </a:ext>
          </a:extLst>
        </xdr:cNvPr>
        <xdr:cNvCxnSpPr/>
      </xdr:nvCxnSpPr>
      <xdr:spPr>
        <a:xfrm>
          <a:off x="5511800" y="1727200"/>
          <a:ext cx="628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466D-CE19-4F74-AA86-7798A2E1D20E}">
  <dimension ref="B2:H15"/>
  <sheetViews>
    <sheetView tabSelected="1" zoomScale="78" workbookViewId="0">
      <selection activeCell="J11" sqref="J11"/>
    </sheetView>
  </sheetViews>
  <sheetFormatPr baseColWidth="10" defaultRowHeight="14.5" x14ac:dyDescent="0.35"/>
  <cols>
    <col min="2" max="2" width="21.81640625" customWidth="1"/>
    <col min="3" max="3" width="12.90625" bestFit="1" customWidth="1"/>
    <col min="4" max="4" width="14.08984375" bestFit="1" customWidth="1"/>
    <col min="5" max="5" width="14.08984375" customWidth="1"/>
    <col min="6" max="6" width="14.54296875" customWidth="1"/>
    <col min="7" max="7" width="15.81640625" customWidth="1"/>
    <col min="8" max="8" width="15.1796875" customWidth="1"/>
  </cols>
  <sheetData>
    <row r="2" spans="2:8" x14ac:dyDescent="0.35">
      <c r="B2" t="s">
        <v>0</v>
      </c>
    </row>
    <row r="4" spans="2:8" x14ac:dyDescent="0.35">
      <c r="C4" s="1" t="s">
        <v>10</v>
      </c>
      <c r="D4" s="1" t="s">
        <v>13</v>
      </c>
      <c r="E4" s="1" t="s">
        <v>11</v>
      </c>
      <c r="F4" s="1" t="s">
        <v>12</v>
      </c>
      <c r="G4" s="1" t="s">
        <v>14</v>
      </c>
      <c r="H4" s="1" t="s">
        <v>15</v>
      </c>
    </row>
    <row r="5" spans="2:8" x14ac:dyDescent="0.35">
      <c r="B5" s="1" t="s">
        <v>1</v>
      </c>
      <c r="C5" s="2">
        <v>15000</v>
      </c>
      <c r="D5" s="2"/>
      <c r="E5" s="2"/>
      <c r="F5" s="2"/>
      <c r="G5" s="2"/>
      <c r="H5" s="2"/>
    </row>
    <row r="6" spans="2:8" x14ac:dyDescent="0.35">
      <c r="B6" s="1" t="s">
        <v>2</v>
      </c>
      <c r="C6" s="2">
        <v>135000</v>
      </c>
      <c r="D6" s="2"/>
      <c r="E6" s="2"/>
      <c r="F6" s="2"/>
      <c r="G6" s="2"/>
      <c r="H6" s="2"/>
    </row>
    <row r="7" spans="2:8" x14ac:dyDescent="0.35">
      <c r="B7" s="1" t="s">
        <v>3</v>
      </c>
      <c r="C7" s="3">
        <v>0</v>
      </c>
      <c r="D7" s="20">
        <f>E7*0.8</f>
        <v>22078.665000000001</v>
      </c>
      <c r="E7" s="20">
        <f>F7*0.85</f>
        <v>27598.331249999999</v>
      </c>
      <c r="F7" s="20">
        <f>G7*0.9</f>
        <v>32468.625</v>
      </c>
      <c r="G7" s="20">
        <f>H7*0.95</f>
        <v>36076.25</v>
      </c>
      <c r="H7" s="3">
        <v>37975</v>
      </c>
    </row>
    <row r="8" spans="2:8" x14ac:dyDescent="0.35">
      <c r="B8" s="1" t="s">
        <v>16</v>
      </c>
      <c r="C8" s="2">
        <v>0</v>
      </c>
      <c r="D8" s="2">
        <f>D7*30</f>
        <v>662359.95000000007</v>
      </c>
      <c r="E8" s="2">
        <f t="shared" ref="E8:H8" si="0">E7*30</f>
        <v>827949.9375</v>
      </c>
      <c r="F8" s="2">
        <f t="shared" si="0"/>
        <v>974058.75</v>
      </c>
      <c r="G8" s="2">
        <f t="shared" si="0"/>
        <v>1082287.5</v>
      </c>
      <c r="H8" s="2">
        <f t="shared" si="0"/>
        <v>1139250</v>
      </c>
    </row>
    <row r="9" spans="2:8" x14ac:dyDescent="0.35">
      <c r="B9" s="1" t="s">
        <v>4</v>
      </c>
      <c r="C9" s="2">
        <v>0</v>
      </c>
      <c r="D9" s="2">
        <v>293856</v>
      </c>
      <c r="E9" s="2">
        <f>D9*1.02</f>
        <v>299733.12</v>
      </c>
      <c r="F9" s="2">
        <f t="shared" ref="F9:H9" si="1">E9*1.02</f>
        <v>305727.78240000003</v>
      </c>
      <c r="G9" s="2">
        <f t="shared" si="1"/>
        <v>311842.33804800001</v>
      </c>
      <c r="H9" s="2">
        <f t="shared" si="1"/>
        <v>318079.18480896001</v>
      </c>
    </row>
    <row r="10" spans="2:8" x14ac:dyDescent="0.35">
      <c r="B10" s="1" t="s">
        <v>24</v>
      </c>
      <c r="C10" s="2">
        <v>0</v>
      </c>
      <c r="D10" s="2">
        <f>4.67*D7</f>
        <v>103107.36555</v>
      </c>
      <c r="E10" s="2">
        <f t="shared" ref="E10:H10" si="2">4.67*E7</f>
        <v>128884.2069375</v>
      </c>
      <c r="F10" s="2">
        <f t="shared" si="2"/>
        <v>151628.47875000001</v>
      </c>
      <c r="G10" s="2">
        <f t="shared" si="2"/>
        <v>168476.08749999999</v>
      </c>
      <c r="H10" s="2">
        <f t="shared" si="2"/>
        <v>177343.25</v>
      </c>
    </row>
    <row r="11" spans="2:8" x14ac:dyDescent="0.35">
      <c r="B11" s="1" t="s">
        <v>5</v>
      </c>
      <c r="C11" s="2">
        <v>0</v>
      </c>
      <c r="D11" s="2">
        <v>56700</v>
      </c>
      <c r="E11" s="2">
        <f>D11*1.02</f>
        <v>57834</v>
      </c>
      <c r="F11" s="2">
        <f t="shared" ref="F11:H11" si="3">E11*1.02</f>
        <v>58990.68</v>
      </c>
      <c r="G11" s="2">
        <f t="shared" si="3"/>
        <v>60170.493600000002</v>
      </c>
      <c r="H11" s="2">
        <f t="shared" si="3"/>
        <v>61373.903472000005</v>
      </c>
    </row>
    <row r="12" spans="2:8" x14ac:dyDescent="0.35">
      <c r="B12" s="1" t="s">
        <v>6</v>
      </c>
      <c r="C12" s="2">
        <v>0</v>
      </c>
      <c r="D12" s="2">
        <f>SUM(D9:D11)*0.1</f>
        <v>45366.336555000002</v>
      </c>
      <c r="E12" s="2">
        <f t="shared" ref="E12:H12" si="4">SUM(E9:E11)*0.1</f>
        <v>48645.132693749998</v>
      </c>
      <c r="F12" s="2">
        <f t="shared" si="4"/>
        <v>51634.694115000006</v>
      </c>
      <c r="G12" s="2">
        <f t="shared" si="4"/>
        <v>54048.891914800013</v>
      </c>
      <c r="H12" s="2">
        <f t="shared" si="4"/>
        <v>55679.633828096004</v>
      </c>
    </row>
    <row r="13" spans="2:8" x14ac:dyDescent="0.35">
      <c r="B13" s="14" t="s">
        <v>7</v>
      </c>
      <c r="C13" s="15">
        <f>SUM(C5:C12)</f>
        <v>150000</v>
      </c>
      <c r="D13" s="15">
        <f>SUM(D9:D12)</f>
        <v>499029.70210499997</v>
      </c>
      <c r="E13" s="15">
        <f t="shared" ref="E13:H13" si="5">SUM(E9:E12)</f>
        <v>535096.45963125001</v>
      </c>
      <c r="F13" s="15">
        <f t="shared" si="5"/>
        <v>567981.63526500005</v>
      </c>
      <c r="G13" s="15">
        <f t="shared" si="5"/>
        <v>594537.81106280012</v>
      </c>
      <c r="H13" s="15">
        <f t="shared" si="5"/>
        <v>612475.97210905596</v>
      </c>
    </row>
    <row r="14" spans="2:8" x14ac:dyDescent="0.35">
      <c r="B14" s="16" t="s">
        <v>8</v>
      </c>
      <c r="C14" s="17">
        <v>0</v>
      </c>
      <c r="D14" s="17">
        <f>D8-D13</f>
        <v>163330.2478950001</v>
      </c>
      <c r="E14" s="17">
        <f t="shared" ref="E14:H14" si="6">E8-E13</f>
        <v>292853.47786874999</v>
      </c>
      <c r="F14" s="17">
        <f t="shared" si="6"/>
        <v>406077.11473499995</v>
      </c>
      <c r="G14" s="17">
        <f t="shared" si="6"/>
        <v>487749.68893719988</v>
      </c>
      <c r="H14" s="17">
        <f t="shared" si="6"/>
        <v>526774.02789094404</v>
      </c>
    </row>
    <row r="15" spans="2:8" x14ac:dyDescent="0.35">
      <c r="B15" s="18" t="s">
        <v>9</v>
      </c>
      <c r="C15" s="19">
        <f>C14-C13</f>
        <v>-150000</v>
      </c>
      <c r="D15" s="19">
        <f>C15+D14</f>
        <v>13330.247895000095</v>
      </c>
      <c r="E15" s="19">
        <f t="shared" ref="E15:H15" si="7">D15+E14</f>
        <v>306183.72576375009</v>
      </c>
      <c r="F15" s="19">
        <f t="shared" si="7"/>
        <v>712260.8404987501</v>
      </c>
      <c r="G15" s="19">
        <f t="shared" si="7"/>
        <v>1200010.5294359499</v>
      </c>
      <c r="H15" s="19">
        <f t="shared" si="7"/>
        <v>1726784.5573268938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B1BB-C139-47C4-9158-0B174115AE2E}">
  <dimension ref="B3:I11"/>
  <sheetViews>
    <sheetView workbookViewId="0">
      <selection activeCell="D14" sqref="D14"/>
    </sheetView>
  </sheetViews>
  <sheetFormatPr baseColWidth="10" defaultRowHeight="14.5" x14ac:dyDescent="0.35"/>
  <cols>
    <col min="4" max="4" width="19.453125" customWidth="1"/>
    <col min="7" max="7" width="14.08984375" customWidth="1"/>
    <col min="8" max="8" width="15.6328125" customWidth="1"/>
    <col min="9" max="9" width="15.7265625" customWidth="1"/>
  </cols>
  <sheetData>
    <row r="3" spans="2:9" x14ac:dyDescent="0.35">
      <c r="B3" s="4" t="s">
        <v>17</v>
      </c>
      <c r="C3" s="5"/>
    </row>
    <row r="4" spans="2:9" x14ac:dyDescent="0.35">
      <c r="B4" s="6"/>
      <c r="C4" s="7"/>
    </row>
    <row r="5" spans="2:9" x14ac:dyDescent="0.35">
      <c r="B5" s="6" t="s">
        <v>18</v>
      </c>
      <c r="C5" s="8">
        <v>3950</v>
      </c>
    </row>
    <row r="6" spans="2:9" x14ac:dyDescent="0.35">
      <c r="B6" s="6" t="s">
        <v>19</v>
      </c>
      <c r="C6" s="8">
        <v>5373</v>
      </c>
    </row>
    <row r="7" spans="2:9" x14ac:dyDescent="0.35">
      <c r="B7" s="6" t="s">
        <v>20</v>
      </c>
      <c r="C7" s="8">
        <v>5166</v>
      </c>
    </row>
    <row r="8" spans="2:9" x14ac:dyDescent="0.35">
      <c r="B8" s="6" t="s">
        <v>21</v>
      </c>
      <c r="C8" s="8">
        <v>3333</v>
      </c>
    </row>
    <row r="9" spans="2:9" x14ac:dyDescent="0.35">
      <c r="B9" s="6" t="s">
        <v>21</v>
      </c>
      <c r="C9" s="8">
        <v>3333</v>
      </c>
      <c r="G9" s="9"/>
      <c r="H9" s="10"/>
      <c r="I9" s="10"/>
    </row>
    <row r="10" spans="2:9" x14ac:dyDescent="0.35">
      <c r="B10" s="11" t="s">
        <v>21</v>
      </c>
      <c r="C10" s="12">
        <v>3333</v>
      </c>
    </row>
    <row r="11" spans="2:9" x14ac:dyDescent="0.35">
      <c r="D11" s="13">
        <f>SUM(C5:C10)</f>
        <v>24488</v>
      </c>
      <c r="E11" s="5" t="s">
        <v>22</v>
      </c>
      <c r="G11" s="13">
        <f>D11*12</f>
        <v>293856</v>
      </c>
      <c r="H11" s="5" t="s">
        <v>23</v>
      </c>
      <c r="I11" s="10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Finale Cashflowprognose</vt:lpstr>
      <vt:lpstr>Personalkosten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Held</dc:creator>
  <cp:lastModifiedBy>Philipp Held</cp:lastModifiedBy>
  <dcterms:created xsi:type="dcterms:W3CDTF">2024-12-17T23:34:13Z</dcterms:created>
  <dcterms:modified xsi:type="dcterms:W3CDTF">2024-12-18T16:43:45Z</dcterms:modified>
</cp:coreProperties>
</file>